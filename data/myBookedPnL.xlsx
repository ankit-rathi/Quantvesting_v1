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quantvesting\data\"/>
    </mc:Choice>
  </mc:AlternateContent>
  <xr:revisionPtr revIDLastSave="0" documentId="13_ncr:1_{D17C8A7C-4E46-4FA9-AB10-28DAEF19B83C}" xr6:coauthVersionLast="47" xr6:coauthVersionMax="47" xr10:uidLastSave="{00000000-0000-0000-0000-000000000000}"/>
  <bookViews>
    <workbookView xWindow="-110" yWindow="-110" windowWidth="19420" windowHeight="11500" xr2:uid="{CF06B7F6-5C6F-4FAA-ADA0-1EC1B46A6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F13" i="1"/>
  <c r="E13" i="1"/>
  <c r="D13" i="1"/>
  <c r="C13" i="1"/>
  <c r="F12" i="1"/>
  <c r="E12" i="1"/>
  <c r="D12" i="1"/>
  <c r="C12" i="1"/>
  <c r="D10" i="1"/>
  <c r="E10" i="1"/>
  <c r="F10" i="1" s="1"/>
  <c r="C10" i="1"/>
  <c r="E6" i="1"/>
  <c r="F6" i="1"/>
  <c r="E7" i="1"/>
  <c r="F7" i="1"/>
  <c r="E8" i="1"/>
  <c r="F8" i="1" s="1"/>
  <c r="F3" i="1"/>
  <c r="E3" i="1"/>
  <c r="E5" i="1"/>
  <c r="F5" i="1" s="1"/>
  <c r="E4" i="1"/>
  <c r="F4" i="1" s="1"/>
</calcChain>
</file>

<file path=xl/sharedStrings.xml><?xml version="1.0" encoding="utf-8"?>
<sst xmlns="http://schemas.openxmlformats.org/spreadsheetml/2006/main" count="20" uniqueCount="10">
  <si>
    <t>2025-26</t>
  </si>
  <si>
    <t>5Paisa</t>
  </si>
  <si>
    <t>Buy Value</t>
  </si>
  <si>
    <t>Sell Value</t>
  </si>
  <si>
    <t>Profit Booked</t>
  </si>
  <si>
    <t>Profit %</t>
  </si>
  <si>
    <t>2023-24</t>
  </si>
  <si>
    <t>2024-25</t>
  </si>
  <si>
    <t>Zerodha</t>
  </si>
  <si>
    <t>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</si>
</sst>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A4C7-AE7D-4EAB-9D4A-AA0CD4E760A1}">
  <dimension ref="A1:F14"/>
  <sheetViews>
    <sheetView tabSelected="1" workbookViewId="0">
      <selection activeCell="C16" sqref="C16"/>
    </sheetView>
  </sheetViews>
  <sheetFormatPr defaultRowHeight="14.5" x14ac:dyDescent="0.35"/>
  <cols>
    <col min="3" max="4" width="10.1796875" bestFit="1" customWidth="1"/>
    <col min="5" max="5" width="12.08984375" bestFit="1" customWidth="1"/>
  </cols>
  <sheetData>
    <row r="1" spans="1:6" x14ac:dyDescent="0.35">
      <c r="B1" t="s">
        <v>9</v>
      </c>
      <c r="C1" t="s">
        <v>2</v>
      </c>
      <c r="D1" t="s">
        <v>3</v>
      </c>
      <c r="E1" t="s">
        <v>4</v>
      </c>
      <c r="F1" t="s">
        <v>5</v>
      </c>
    </row>
    <row r="3" spans="1:6" x14ac:dyDescent="0.35">
      <c r="A3" t="s">
        <v>6</v>
      </c>
      <c r="B3" t="s">
        <v>1</v>
      </c>
      <c r="C3" s="1">
        <v>3708911</v>
      </c>
      <c r="D3" s="1">
        <v>4701047</v>
      </c>
      <c r="E3" s="1">
        <f>D3-C3</f>
        <v>992136</v>
      </c>
      <c r="F3">
        <f t="shared" ref="F3:F4" si="0">E3*100/C3</f>
        <v>26.750062215027537</v>
      </c>
    </row>
    <row r="4" spans="1:6" x14ac:dyDescent="0.35">
      <c r="A4" t="s">
        <v>7</v>
      </c>
      <c r="B4" t="s">
        <v>1</v>
      </c>
      <c r="C4" s="1">
        <v>3121399</v>
      </c>
      <c r="D4" s="1">
        <v>3985303</v>
      </c>
      <c r="E4" s="1">
        <f>D4-C4</f>
        <v>863904</v>
      </c>
      <c r="F4">
        <f t="shared" si="0"/>
        <v>27.676820553860626</v>
      </c>
    </row>
    <row r="5" spans="1:6" x14ac:dyDescent="0.35">
      <c r="A5" t="s">
        <v>0</v>
      </c>
      <c r="B5" t="s">
        <v>1</v>
      </c>
      <c r="C5" s="1">
        <v>5627703</v>
      </c>
      <c r="D5" s="1">
        <v>6466071</v>
      </c>
      <c r="E5" s="1">
        <f>D5-C5</f>
        <v>838368</v>
      </c>
      <c r="F5">
        <f>E5*100/C5</f>
        <v>14.897161417366908</v>
      </c>
    </row>
    <row r="6" spans="1:6" x14ac:dyDescent="0.35">
      <c r="A6" t="s">
        <v>6</v>
      </c>
      <c r="B6" t="s">
        <v>8</v>
      </c>
      <c r="C6" s="1">
        <v>1029457.2499999999</v>
      </c>
      <c r="D6" s="1">
        <v>1334393.77</v>
      </c>
      <c r="E6" s="1">
        <f>D6-C6</f>
        <v>304936.52000000014</v>
      </c>
      <c r="F6">
        <f t="shared" ref="F6:F8" si="1">E6*100/C6</f>
        <v>29.621095970716627</v>
      </c>
    </row>
    <row r="7" spans="1:6" x14ac:dyDescent="0.35">
      <c r="A7" t="s">
        <v>7</v>
      </c>
      <c r="B7" t="s">
        <v>8</v>
      </c>
      <c r="C7" s="1">
        <v>1867102.0500000003</v>
      </c>
      <c r="D7" s="1">
        <v>2367594.2300000004</v>
      </c>
      <c r="E7" s="1">
        <f>D7-C7</f>
        <v>500492.18000000017</v>
      </c>
      <c r="F7">
        <f t="shared" si="1"/>
        <v>26.805828851186792</v>
      </c>
    </row>
    <row r="8" spans="1:6" x14ac:dyDescent="0.35">
      <c r="A8" t="s">
        <v>0</v>
      </c>
      <c r="B8" t="s">
        <v>8</v>
      </c>
      <c r="C8" s="1">
        <v>3205569.4693999998</v>
      </c>
      <c r="D8" s="1">
        <v>3770994.79</v>
      </c>
      <c r="E8" s="1">
        <f>D8-C8</f>
        <v>565425.32060000021</v>
      </c>
      <c r="F8">
        <f t="shared" si="1"/>
        <v>17.638841584856785</v>
      </c>
    </row>
    <row r="10" spans="1:6" x14ac:dyDescent="0.35">
      <c r="C10" s="1">
        <f>SUM(C3:C8)</f>
        <v>18560141.769400001</v>
      </c>
      <c r="D10" s="1">
        <f t="shared" ref="D10:E10" si="2">SUM(D3:D8)</f>
        <v>22625403.789999999</v>
      </c>
      <c r="E10" s="1">
        <f t="shared" si="2"/>
        <v>4065262.0206000004</v>
      </c>
      <c r="F10">
        <f>E10*100/C10</f>
        <v>21.903184097992046</v>
      </c>
    </row>
    <row r="12" spans="1:6" x14ac:dyDescent="0.35">
      <c r="A12" t="s">
        <v>6</v>
      </c>
      <c r="C12" s="1">
        <f>C3+C6</f>
        <v>4738368.25</v>
      </c>
      <c r="D12" s="1">
        <f>D3+D6</f>
        <v>6035440.7699999996</v>
      </c>
      <c r="E12" s="1">
        <f>D12-C12</f>
        <v>1297072.5199999996</v>
      </c>
      <c r="F12">
        <f>E12*100/C12</f>
        <v>27.37382262343159</v>
      </c>
    </row>
    <row r="13" spans="1:6" x14ac:dyDescent="0.35">
      <c r="A13" t="s">
        <v>7</v>
      </c>
      <c r="C13" s="1">
        <f>C4+C7</f>
        <v>4988501.0500000007</v>
      </c>
      <c r="D13" s="1">
        <f>D4+D7</f>
        <v>6352897.2300000004</v>
      </c>
      <c r="E13" s="1">
        <f>D13-C13</f>
        <v>1364396.1799999997</v>
      </c>
      <c r="F13">
        <f>E13*100/C13</f>
        <v>27.350824753259289</v>
      </c>
    </row>
    <row r="14" spans="1:6" x14ac:dyDescent="0.35">
      <c r="A14" t="s">
        <v>0</v>
      </c>
      <c r="C14" s="1">
        <f>C5+C8</f>
        <v>8833272.4693999998</v>
      </c>
      <c r="D14" s="1">
        <f>+D5+D8</f>
        <v>10237065.789999999</v>
      </c>
      <c r="E14" s="1">
        <f>D14-C14</f>
        <v>1403793.3205999993</v>
      </c>
      <c r="F14">
        <f>E14*100/C14</f>
        <v>15.892109356560493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Rathi</dc:creator>
  <cp:lastModifiedBy>Ankit Rathi</cp:lastModifiedBy>
  <dcterms:created xsi:type="dcterms:W3CDTF">2026-01-02T05:43:38Z</dcterms:created>
  <dcterms:modified xsi:type="dcterms:W3CDTF">2026-01-02T09:20:00Z</dcterms:modified>
</cp:coreProperties>
</file>